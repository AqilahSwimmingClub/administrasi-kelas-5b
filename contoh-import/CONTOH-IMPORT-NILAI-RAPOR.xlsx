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<sst xmlns="http://schemas.openxmlformats.org/spreadsheetml/2006/main" uniqueCount="150">
  <si>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 xml:space="preserve">FORMAT IMPORT NILAI RAPOR BAHASA INDONESIA, KELAS  KELAS 6A </t>
  </si>
  <si>
    <t>9248f177-ead0-4ef7-8c9a-7846cd29524a</t>
  </si>
  <si>
    <t>NO</t>
  </si>
  <si>
    <t>NILRPT</t>
  </si>
  <si>
    <t>NISN</t>
  </si>
  <si>
    <t>NAMA SISWA</t>
  </si>
  <si>
    <t>NILAI RAPOR</t>
  </si>
  <si>
    <t>TINGKAT KETERCAPAIAN TP</t>
  </si>
  <si>
    <t>76578997-606c-42ed-823f-97fc84c78a38</t>
  </si>
  <si>
    <t xml:space="preserve">Mencermati petunjuk dan isi teks formulir
</t>
  </si>
  <si>
    <t>TP.622</t>
  </si>
  <si>
    <t>VALIDASI</t>
  </si>
  <si>
    <t>TR</t>
  </si>
  <si>
    <t>OP</t>
  </si>
  <si>
    <t>NILAI</t>
  </si>
  <si>
    <t>e39468b5-5864-4685-babe-c772f85ced73</t>
  </si>
  <si>
    <t>0fad4f93-6f2f-4254-b989-c2617ce2dd4b</t>
  </si>
  <si>
    <t>3127883736</t>
  </si>
  <si>
    <t>Abdul Hamid</t>
  </si>
  <si>
    <t>6d3a0bf5-2a18-4725-a76c-c76aed6e3a5c</t>
  </si>
  <si>
    <t>7b7a1484-3e9c-41fc-9960-4f8896d06075</t>
  </si>
  <si>
    <t>3125508459</t>
  </si>
  <si>
    <t>Abdul Majid</t>
  </si>
  <si>
    <t>19f50f7c-0f38-41d5-a81e-327e0747f32c</t>
  </si>
  <si>
    <t>fec0c40a-3923-4827-8492-6b9fa07e4bff</t>
  </si>
  <si>
    <t>3137866676</t>
  </si>
  <si>
    <t>Adrian Syahrial</t>
  </si>
  <si>
    <t>81505bb8-5919-48c1-bdfb-f53b8ddf37d4</t>
  </si>
  <si>
    <t>705cb921-1e06-42d4-bf50-feed93f931fe</t>
  </si>
  <si>
    <t>3141672666</t>
  </si>
  <si>
    <t>Agam Ghalibie</t>
  </si>
  <si>
    <t>8246e663-e77e-4df8-87fc-fc575aa04bf7</t>
  </si>
  <si>
    <t>ae0ddd7f-5d63-4cf1-9e8f-6fc1874e1b83</t>
  </si>
  <si>
    <t>3132305106</t>
  </si>
  <si>
    <t>Ahmad Sulthan Yusya</t>
  </si>
  <si>
    <t>1c16dec2-0236-453f-ac79-6bdcabc3176d</t>
  </si>
  <si>
    <t>45e015c6-72bd-464c-804e-a85998960ec3</t>
  </si>
  <si>
    <t>3135168692</t>
  </si>
  <si>
    <t>Alifa Ramadani Sianipar</t>
  </si>
  <si>
    <t>184c91dc-fb68-4e75-aef3-2a223a695933</t>
  </si>
  <si>
    <t>9239801e-a90a-415d-8b8c-fbe54a9dd5b5</t>
  </si>
  <si>
    <t>3139700701</t>
  </si>
  <si>
    <t>Andika Pratama</t>
  </si>
  <si>
    <t>4a157e03-ec13-45e7-acb1-3cd6558b462f</t>
  </si>
  <si>
    <t>8847fe24-a1c5-40da-bd09-62a53febd0d6</t>
  </si>
  <si>
    <t>3130180983</t>
  </si>
  <si>
    <t>Bilal Raka Rajata</t>
  </si>
  <si>
    <t>8fa4a90a-eb7d-4539-87b7-969d7e083262</t>
  </si>
  <si>
    <t>7834ef98-ef06-4afe-aaad-face21dc7225</t>
  </si>
  <si>
    <t>0136380003</t>
  </si>
  <si>
    <t>CHOIRUL AKBAR RASYID</t>
  </si>
  <si>
    <t>f2001178-1579-4cc1-bd26-6c14fa36029e</t>
  </si>
  <si>
    <t>3855a53b-504d-4082-922a-4938069f29b4</t>
  </si>
  <si>
    <t>3131952617</t>
  </si>
  <si>
    <t>Cinta Ramadhania Sutrisno</t>
  </si>
  <si>
    <t>32927748-4c45-4dea-8121-2fec62027bfd</t>
  </si>
  <si>
    <t>082591f4-a281-4bec-a76e-3ed4975d4f05</t>
  </si>
  <si>
    <t>3138507533</t>
  </si>
  <si>
    <t>Citra Maharani</t>
  </si>
  <si>
    <t>080f0edf-0237-42d8-adcf-f9fe0a48dc0d</t>
  </si>
  <si>
    <t>27ce8476-64ac-48de-a63c-c7a78f6712e4</t>
  </si>
  <si>
    <t>3131938390</t>
  </si>
  <si>
    <t>Dzaidah Azmi Putri</t>
  </si>
  <si>
    <t>554c03c2-6d86-4ebd-98ce-0de540d8ac71</t>
  </si>
  <si>
    <t>f519cb92-87e9-4127-a03d-3fd8d7c2b7f2</t>
  </si>
  <si>
    <t>0139517066</t>
  </si>
  <si>
    <t>FADIYAH SYAFIQAH</t>
  </si>
  <si>
    <t>b17d6441-7643-4058-a158-65c441308b55</t>
  </si>
  <si>
    <t>97c8418c-e3ad-4fdc-a72f-1eecf982625b</t>
  </si>
  <si>
    <t>3136963433</t>
  </si>
  <si>
    <t>Farhan Ramadhan</t>
  </si>
  <si>
    <t>4ec3383d-ad38-4a5d-ad82-a564f442a332</t>
  </si>
  <si>
    <t>64c3dc2d-3a65-42d4-8934-a1562ab76ac4</t>
  </si>
  <si>
    <t>3131892728</t>
  </si>
  <si>
    <t>GARA AN-KHOIRI</t>
  </si>
  <si>
    <t>9cb67742-fc21-490c-b68c-308aef49c854</t>
  </si>
  <si>
    <t>6fda240a-d06c-4f67-8390-6408737fff66</t>
  </si>
  <si>
    <t>3131040865</t>
  </si>
  <si>
    <t>HAIKAL IMAN ARDIANSYAH</t>
  </si>
  <si>
    <t>d4b8d1bd-8ba3-4fa0-ada3-b18bc2a904aa</t>
  </si>
  <si>
    <t>88f6629a-36cf-4b53-9d85-723ed0d1a166</t>
  </si>
  <si>
    <t>3123243254</t>
  </si>
  <si>
    <t>Jennar Putih Yugo Anggoro</t>
  </si>
  <si>
    <t>aac6eafe-4282-4ec7-b341-31b5f9e1ab05</t>
  </si>
  <si>
    <t>76fb3006-9528-4487-b05d-951654798f10</t>
  </si>
  <si>
    <t>3136144965</t>
  </si>
  <si>
    <t>Lestari</t>
  </si>
  <si>
    <t>d86d7419-dc15-4b17-b93c-9f7ed587658b</t>
  </si>
  <si>
    <t>32ab37bd-0672-4b11-bde1-6bcaae341ab8</t>
  </si>
  <si>
    <t>3135741142</t>
  </si>
  <si>
    <t>M. Chandra Winata Putra</t>
  </si>
  <si>
    <t>72afb21b-efd9-460c-b6ea-aee3928daf61</t>
  </si>
  <si>
    <t>9a4173d6-ceae-456b-8c42-4d96cea9f158</t>
  </si>
  <si>
    <t>3131235800</t>
  </si>
  <si>
    <t>Meinanda Arsyifa Salsabila</t>
  </si>
  <si>
    <t>75803daf-a937-4e8a-bca5-5794b6685d43</t>
  </si>
  <si>
    <t>1286e05d-3444-4ff0-82e7-6b9395b6c235</t>
  </si>
  <si>
    <t>3128874695</t>
  </si>
  <si>
    <t>MUHAMMAD ABID DZAKI</t>
  </si>
  <si>
    <t>36fcc6fb-a739-46d2-9f06-466a28075fd5</t>
  </si>
  <si>
    <t>961da478-ef9d-4121-a0b3-26b5c6a99f6f</t>
  </si>
  <si>
    <t>0134660462</t>
  </si>
  <si>
    <t>Muhammad Alfath Awaluddin</t>
  </si>
  <si>
    <t>b08b6885-2ee8-45e4-9cc4-3a3656eb1b78</t>
  </si>
  <si>
    <t>6a6a2ddd-9e2c-4d05-9ea0-4298094714f9</t>
  </si>
  <si>
    <t>3123766669</t>
  </si>
  <si>
    <t>Muhammad Dika</t>
  </si>
  <si>
    <t>aac58382-b58f-484f-aaea-a45234f2e349</t>
  </si>
  <si>
    <t>ecd34c8f-ca1f-4995-95fc-212742434197</t>
  </si>
  <si>
    <t>3132053328</t>
  </si>
  <si>
    <t>Muhammad Rahel</t>
  </si>
  <si>
    <t>3692e47d-1916-4e94-b8bc-176a95b36c44</t>
  </si>
  <si>
    <t>084dadb9-da14-454f-bd70-aa63f6abe06e</t>
  </si>
  <si>
    <t>3128577497</t>
  </si>
  <si>
    <t>Muhammad Riski Alpa Reza</t>
  </si>
  <si>
    <t>852871b6-c8e3-410f-888f-6bdde0acdcf7</t>
  </si>
  <si>
    <t>1ba97640-8cd1-4166-a43c-07b3ec211c8b</t>
  </si>
  <si>
    <t>3131078225</t>
  </si>
  <si>
    <t>Muhammad Syahid Al - Viqri</t>
  </si>
  <si>
    <t>f958b0f6-72f6-4f29-a557-7640513ec5fd</t>
  </si>
  <si>
    <t>4904314d-22d5-453d-bb72-15df1d3554e3</t>
  </si>
  <si>
    <t>3132599503</t>
  </si>
  <si>
    <t>Naila Mega Syaputri</t>
  </si>
  <si>
    <t>94065754-d568-4b79-874f-cc51aeb67e29</t>
  </si>
  <si>
    <t>11a8ac7b-6ff1-4194-8a6c-7376a3db0fe9</t>
  </si>
  <si>
    <t>3133357270</t>
  </si>
  <si>
    <t>Nesia Eviela Cantika Zendrato</t>
  </si>
  <si>
    <t>3f0dc6a2-4cb8-4625-b715-9c79e8713d54</t>
  </si>
  <si>
    <t>d8081c7c-3da2-4389-b2a9-44508d3e96f0</t>
  </si>
  <si>
    <t>3137699021</t>
  </si>
  <si>
    <t>Rangga Nurfadilah</t>
  </si>
  <si>
    <t>71ade8d9-b2ce-4e43-9458-275a657f4553</t>
  </si>
  <si>
    <t>99bdb84c-8350-4411-9b6b-6870c009f744</t>
  </si>
  <si>
    <t>3138902222</t>
  </si>
  <si>
    <t>Ringga Damar Putra</t>
  </si>
  <si>
    <t>efccb2fe-1a32-49a2-a43e-d9931804f928</t>
  </si>
  <si>
    <t>fd1e48b3-9d49-4755-9ca0-0fc09a089d71</t>
  </si>
  <si>
    <t>3130907517</t>
  </si>
  <si>
    <t>Safira Ainun Hasna</t>
  </si>
  <si>
    <t>81f6a3fa-846b-40e1-9e81-74e71415ee64</t>
  </si>
  <si>
    <t>306f0701-7dab-43ca-ad99-248c80375fe9</t>
  </si>
  <si>
    <t>3135557402</t>
  </si>
  <si>
    <t>Tasa Sabilah</t>
  </si>
  <si>
    <t>KETERANGAN :</t>
  </si>
  <si>
    <t xml:space="preserve"> &gt; TP.622 : Mencermati petunjuk dan isi teks formulir
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</si>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</sst>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4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5" numFmtId="0" fillId="2" borderId="1" applyFont="1" applyNumberFormat="0" applyFill="1" applyBorder="1" applyAlignment="1" applyProtection="true">
      <alignment horizontal="center" vertical="top" textRotation="0" wrapText="true" shrinkToFit="false"/>
      <protection locked="true"/>
    </xf>
    <xf xfId="0" fontId="0" numFmtId="0" fillId="0" borderId="1" applyFont="0" applyNumberFormat="0" applyFill="0" applyBorder="1" applyAlignment="1" applyProtection="true">
      <alignment vertical="top" textRotation="0" wrapText="true" shrinkToFit="false"/>
      <protection locked="true"/>
    </xf>
    <xf xfId="0" fontId="0" numFmtId="0" fillId="0" borderId="1" applyFont="0" applyNumberFormat="0" applyFill="0" applyBorder="1" applyAlignment="1" applyProtection="true">
      <alignment horizontal="center" vertical="top" textRotation="0" wrapText="true" shrinkToFit="false"/>
      <protection locked="true"/>
    </xf>
    <xf xfId="0" fontId="0" numFmtId="0" fillId="0" borderId="1" applyFont="0" applyNumberFormat="0" applyFill="0" applyBorder="1" applyAlignment="1" applyProtection="true">
      <alignment vertical="top" textRotation="0" wrapText="true" shrinkToFit="false"/>
      <protection locked="true" hidden="true"/>
    </xf>
    <xf xfId="0" fontId="5" numFmtId="0" fillId="2" borderId="1" applyFont="1" applyNumberFormat="0" applyFill="1" applyBorder="1" applyAlignment="1" applyProtection="true">
      <alignment horizontal="center" vertical="top" textRotation="0" wrapText="true" shrinkToFit="false"/>
      <protection locked="false"/>
    </xf>
    <xf xfId="0" fontId="0" numFmtId="0" fillId="0" borderId="1" applyFont="0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Z46"/>
  <sheetViews>
    <sheetView tabSelected="1" workbookViewId="0" showGridLines="true" showRowColHeaders="1">
      <selection activeCell="G4" sqref="G4:H38"/>
    </sheetView>
  </sheetViews>
  <sheetFormatPr defaultRowHeight="14.4" outlineLevelRow="0" outlineLevelCol="0"/>
  <cols>
    <col min="1" max="1" width="5" customWidth="true" style="0"/>
    <col min="2" max="2" width="0" customWidth="true" style="0"/>
    <col min="3" max="3" width="0" customWidth="true" style="0"/>
    <col min="4" max="4" width="0" customWidth="true" style="0"/>
    <col min="5" max="5" width="13" customWidth="true" style="0"/>
    <col min="6" max="6" width="35.277" bestFit="true" customWidth="true" style="0"/>
    <col min="7" max="7" width="17.71" bestFit="true" customWidth="true" style="0"/>
    <col min="8" max="8" width="10" customWidth="true" style="0"/>
    <col min="9" max="9" width="0" customWidth="true" style="0"/>
    <col min="10" max="10" width="0" customWidth="true" style="0"/>
    <col min="11" max="11" width="15" customWidth="true" style="0"/>
  </cols>
  <sheetData>
    <row r="1" spans="1:52">
      <c r="A1" s="3" t="s">
        <v>0</v>
      </c>
      <c r="B1" s="4">
        <v>11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>
      <c r="A2" s="4"/>
      <c r="B2" s="4">
        <v>38</v>
      </c>
      <c r="C2" s="4" t="s">
        <v>1</v>
      </c>
      <c r="D2" s="4">
        <v>300110000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customHeight="1" ht="25">
      <c r="A3" s="5" t="s">
        <v>2</v>
      </c>
      <c r="B3" s="5" t="s">
        <v>3</v>
      </c>
      <c r="C3" s="5" t="s">
        <v>3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11</v>
      </c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customHeight="1" ht="0">
      <c r="A4" s="6"/>
      <c r="B4" s="6"/>
      <c r="C4" s="6"/>
      <c r="D4" s="6"/>
      <c r="E4" s="6"/>
      <c r="F4" s="6"/>
      <c r="G4" s="10"/>
      <c r="H4" s="10" t="s">
        <v>8</v>
      </c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customHeight="1" ht="0">
      <c r="A5" s="6"/>
      <c r="B5" s="6"/>
      <c r="C5" s="6"/>
      <c r="D5" s="6"/>
      <c r="E5" s="6"/>
      <c r="F5" s="6"/>
      <c r="G5" s="10"/>
      <c r="H5" s="10" t="s">
        <v>9</v>
      </c>
      <c r="I5" s="6"/>
      <c r="J5" s="6"/>
      <c r="K5" s="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>
      <c r="A6" s="6"/>
      <c r="B6" s="6"/>
      <c r="C6" s="6"/>
      <c r="D6" s="6"/>
      <c r="E6" s="6"/>
      <c r="F6" s="6"/>
      <c r="G6" s="10"/>
      <c r="H6" s="10" t="s">
        <v>10</v>
      </c>
      <c r="I6" s="6" t="s">
        <v>12</v>
      </c>
      <c r="J6" s="6" t="s">
        <v>13</v>
      </c>
      <c r="K6" s="6" t="s">
        <v>14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customHeight="1" ht="20">
      <c r="A7" s="7">
        <v>1</v>
      </c>
      <c r="B7" s="7" t="s">
        <v>15</v>
      </c>
      <c r="C7" s="7" t="s">
        <v>16</v>
      </c>
      <c r="D7" s="7">
        <v>1</v>
      </c>
      <c r="E7" s="7" t="s">
        <v>17</v>
      </c>
      <c r="F7" s="7" t="s">
        <v>18</v>
      </c>
      <c r="G7" s="11"/>
      <c r="H7" s="11"/>
      <c r="I7" s="8">
        <f>COUNTIF(H7:H7,"R")</f>
        <v>0</v>
      </c>
      <c r="J7" s="8">
        <f>COUNTIF(H7:H7,"T")</f>
        <v>0</v>
      </c>
      <c r="K7" s="9" t="str">
        <f>IF(G7="","",IF(G7=100,IF(I7&gt;0,"Tidak Valid",IF((I7+J7)&gt;0,"Valid","Tidak Valid")),IF(I7=0,"Tidak Valid",IF((I7+J7)&gt;0,"Valid","Tidak Valid"))))</f>
        <v/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customHeight="1" ht="20">
      <c r="A8" s="7">
        <v>2</v>
      </c>
      <c r="B8" s="7" t="s">
        <v>19</v>
      </c>
      <c r="C8" s="7" t="s">
        <v>20</v>
      </c>
      <c r="D8" s="7">
        <v>1</v>
      </c>
      <c r="E8" s="7" t="s">
        <v>21</v>
      </c>
      <c r="F8" s="7" t="s">
        <v>22</v>
      </c>
      <c r="G8" s="11"/>
      <c r="H8" s="11"/>
      <c r="I8" s="8">
        <f>COUNTIF(H8:H8,"R")</f>
        <v>0</v>
      </c>
      <c r="J8" s="8">
        <f>COUNTIF(H8:H8,"T")</f>
        <v>0</v>
      </c>
      <c r="K8" s="9" t="str">
        <f>IF(G8="","",IF(G8=100,IF(I8&gt;0,"Tidak Valid",IF((I8+J8)&gt;0,"Valid","Tidak Valid")),IF(I8=0,"Tidak Valid",IF((I8+J8)&gt;0,"Valid","Tidak Valid"))))</f>
        <v/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customHeight="1" ht="20">
      <c r="A9" s="7">
        <v>3</v>
      </c>
      <c r="B9" s="7" t="s">
        <v>23</v>
      </c>
      <c r="C9" s="7" t="s">
        <v>24</v>
      </c>
      <c r="D9" s="7">
        <v>1</v>
      </c>
      <c r="E9" s="7" t="s">
        <v>25</v>
      </c>
      <c r="F9" s="7" t="s">
        <v>26</v>
      </c>
      <c r="G9" s="11"/>
      <c r="H9" s="11"/>
      <c r="I9" s="8">
        <f>COUNTIF(H9:H9,"R")</f>
        <v>0</v>
      </c>
      <c r="J9" s="8">
        <f>COUNTIF(H9:H9,"T")</f>
        <v>0</v>
      </c>
      <c r="K9" s="9" t="str">
        <f>IF(G9="","",IF(G9=100,IF(I9&gt;0,"Tidak Valid",IF((I9+J9)&gt;0,"Valid","Tidak Valid")),IF(I9=0,"Tidak Valid",IF((I9+J9)&gt;0,"Valid","Tidak Valid"))))</f>
        <v/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customHeight="1" ht="20">
      <c r="A10" s="7">
        <v>4</v>
      </c>
      <c r="B10" s="7" t="s">
        <v>27</v>
      </c>
      <c r="C10" s="7" t="s">
        <v>28</v>
      </c>
      <c r="D10" s="7">
        <v>1</v>
      </c>
      <c r="E10" s="7" t="s">
        <v>29</v>
      </c>
      <c r="F10" s="7" t="s">
        <v>30</v>
      </c>
      <c r="G10" s="11"/>
      <c r="H10" s="11"/>
      <c r="I10" s="8">
        <f>COUNTIF(H10:H10,"R")</f>
        <v>0</v>
      </c>
      <c r="J10" s="8">
        <f>COUNTIF(H10:H10,"T")</f>
        <v>0</v>
      </c>
      <c r="K10" s="9" t="str">
        <f>IF(G10="","",IF(G10=100,IF(I10&gt;0,"Tidak Valid",IF((I10+J10)&gt;0,"Valid","Tidak Valid")),IF(I10=0,"Tidak Valid",IF((I10+J10)&gt;0,"Valid","Tidak Valid"))))</f>
        <v/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customHeight="1" ht="20">
      <c r="A11" s="7">
        <v>5</v>
      </c>
      <c r="B11" s="7" t="s">
        <v>31</v>
      </c>
      <c r="C11" s="7" t="s">
        <v>32</v>
      </c>
      <c r="D11" s="7">
        <v>1</v>
      </c>
      <c r="E11" s="7" t="s">
        <v>33</v>
      </c>
      <c r="F11" s="7" t="s">
        <v>34</v>
      </c>
      <c r="G11" s="11"/>
      <c r="H11" s="11"/>
      <c r="I11" s="8">
        <f>COUNTIF(H11:H11,"R")</f>
        <v>0</v>
      </c>
      <c r="J11" s="8">
        <f>COUNTIF(H11:H11,"T")</f>
        <v>0</v>
      </c>
      <c r="K11" s="9" t="str">
        <f>IF(G11="","",IF(G11=100,IF(I11&gt;0,"Tidak Valid",IF((I11+J11)&gt;0,"Valid","Tidak Valid")),IF(I11=0,"Tidak Valid",IF((I11+J11)&gt;0,"Valid","Tidak Valid"))))</f>
        <v/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customHeight="1" ht="20">
      <c r="A12" s="7">
        <v>6</v>
      </c>
      <c r="B12" s="7" t="s">
        <v>35</v>
      </c>
      <c r="C12" s="7" t="s">
        <v>36</v>
      </c>
      <c r="D12" s="7">
        <v>1</v>
      </c>
      <c r="E12" s="7" t="s">
        <v>37</v>
      </c>
      <c r="F12" s="7" t="s">
        <v>38</v>
      </c>
      <c r="G12" s="11"/>
      <c r="H12" s="11"/>
      <c r="I12" s="8">
        <f>COUNTIF(H12:H12,"R")</f>
        <v>0</v>
      </c>
      <c r="J12" s="8">
        <f>COUNTIF(H12:H12,"T")</f>
        <v>0</v>
      </c>
      <c r="K12" s="9" t="str">
        <f>IF(G12="","",IF(G12=100,IF(I12&gt;0,"Tidak Valid",IF((I12+J12)&gt;0,"Valid","Tidak Valid")),IF(I12=0,"Tidak Valid",IF((I12+J12)&gt;0,"Valid","Tidak Valid"))))</f>
        <v/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customHeight="1" ht="20">
      <c r="A13" s="7">
        <v>7</v>
      </c>
      <c r="B13" s="7" t="s">
        <v>39</v>
      </c>
      <c r="C13" s="7" t="s">
        <v>40</v>
      </c>
      <c r="D13" s="7">
        <v>1</v>
      </c>
      <c r="E13" s="7" t="s">
        <v>41</v>
      </c>
      <c r="F13" s="7" t="s">
        <v>42</v>
      </c>
      <c r="G13" s="11"/>
      <c r="H13" s="11"/>
      <c r="I13" s="8">
        <f>COUNTIF(H13:H13,"R")</f>
        <v>0</v>
      </c>
      <c r="J13" s="8">
        <f>COUNTIF(H13:H13,"T")</f>
        <v>0</v>
      </c>
      <c r="K13" s="9" t="str">
        <f>IF(G13="","",IF(G13=100,IF(I13&gt;0,"Tidak Valid",IF((I13+J13)&gt;0,"Valid","Tidak Valid")),IF(I13=0,"Tidak Valid",IF((I13+J13)&gt;0,"Valid","Tidak Valid"))))</f>
        <v/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customHeight="1" ht="20">
      <c r="A14" s="7">
        <v>8</v>
      </c>
      <c r="B14" s="7" t="s">
        <v>43</v>
      </c>
      <c r="C14" s="7" t="s">
        <v>44</v>
      </c>
      <c r="D14" s="7">
        <v>1</v>
      </c>
      <c r="E14" s="7" t="s">
        <v>45</v>
      </c>
      <c r="F14" s="7" t="s">
        <v>46</v>
      </c>
      <c r="G14" s="11"/>
      <c r="H14" s="11"/>
      <c r="I14" s="8">
        <f>COUNTIF(H14:H14,"R")</f>
        <v>0</v>
      </c>
      <c r="J14" s="8">
        <f>COUNTIF(H14:H14,"T")</f>
        <v>0</v>
      </c>
      <c r="K14" s="9" t="str">
        <f>IF(G14="","",IF(G14=100,IF(I14&gt;0,"Tidak Valid",IF((I14+J14)&gt;0,"Valid","Tidak Valid")),IF(I14=0,"Tidak Valid",IF((I14+J14)&gt;0,"Valid","Tidak Valid"))))</f>
        <v/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customHeight="1" ht="20">
      <c r="A15" s="7">
        <v>9</v>
      </c>
      <c r="B15" s="7" t="s">
        <v>47</v>
      </c>
      <c r="C15" s="7" t="s">
        <v>48</v>
      </c>
      <c r="D15" s="7">
        <v>1</v>
      </c>
      <c r="E15" s="7" t="s">
        <v>49</v>
      </c>
      <c r="F15" s="7" t="s">
        <v>50</v>
      </c>
      <c r="G15" s="11"/>
      <c r="H15" s="11"/>
      <c r="I15" s="8">
        <f>COUNTIF(H15:H15,"R")</f>
        <v>0</v>
      </c>
      <c r="J15" s="8">
        <f>COUNTIF(H15:H15,"T")</f>
        <v>0</v>
      </c>
      <c r="K15" s="9" t="str">
        <f>IF(G15="","",IF(G15=100,IF(I15&gt;0,"Tidak Valid",IF((I15+J15)&gt;0,"Valid","Tidak Valid")),IF(I15=0,"Tidak Valid",IF((I15+J15)&gt;0,"Valid","Tidak Valid"))))</f>
        <v/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customHeight="1" ht="20">
      <c r="A16" s="7">
        <v>10</v>
      </c>
      <c r="B16" s="7" t="s">
        <v>51</v>
      </c>
      <c r="C16" s="7" t="s">
        <v>52</v>
      </c>
      <c r="D16" s="7">
        <v>1</v>
      </c>
      <c r="E16" s="7" t="s">
        <v>53</v>
      </c>
      <c r="F16" s="7" t="s">
        <v>54</v>
      </c>
      <c r="G16" s="11"/>
      <c r="H16" s="11"/>
      <c r="I16" s="8">
        <f>COUNTIF(H16:H16,"R")</f>
        <v>0</v>
      </c>
      <c r="J16" s="8">
        <f>COUNTIF(H16:H16,"T")</f>
        <v>0</v>
      </c>
      <c r="K16" s="9" t="str">
        <f>IF(G16="","",IF(G16=100,IF(I16&gt;0,"Tidak Valid",IF((I16+J16)&gt;0,"Valid","Tidak Valid")),IF(I16=0,"Tidak Valid",IF((I16+J16)&gt;0,"Valid","Tidak Valid"))))</f>
        <v/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customHeight="1" ht="20">
      <c r="A17" s="7">
        <v>11</v>
      </c>
      <c r="B17" s="7" t="s">
        <v>55</v>
      </c>
      <c r="C17" s="7" t="s">
        <v>56</v>
      </c>
      <c r="D17" s="7">
        <v>1</v>
      </c>
      <c r="E17" s="7" t="s">
        <v>57</v>
      </c>
      <c r="F17" s="7" t="s">
        <v>58</v>
      </c>
      <c r="G17" s="11"/>
      <c r="H17" s="11"/>
      <c r="I17" s="8">
        <f>COUNTIF(H17:H17,"R")</f>
        <v>0</v>
      </c>
      <c r="J17" s="8">
        <f>COUNTIF(H17:H17,"T")</f>
        <v>0</v>
      </c>
      <c r="K17" s="9" t="str">
        <f>IF(G17="","",IF(G17=100,IF(I17&gt;0,"Tidak Valid",IF((I17+J17)&gt;0,"Valid","Tidak Valid")),IF(I17=0,"Tidak Valid",IF((I17+J17)&gt;0,"Valid","Tidak Valid"))))</f>
        <v/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customHeight="1" ht="20">
      <c r="A18" s="7">
        <v>12</v>
      </c>
      <c r="B18" s="7" t="s">
        <v>59</v>
      </c>
      <c r="C18" s="7" t="s">
        <v>60</v>
      </c>
      <c r="D18" s="7">
        <v>1</v>
      </c>
      <c r="E18" s="7" t="s">
        <v>61</v>
      </c>
      <c r="F18" s="7" t="s">
        <v>62</v>
      </c>
      <c r="G18" s="11"/>
      <c r="H18" s="11"/>
      <c r="I18" s="8">
        <f>COUNTIF(H18:H18,"R")</f>
        <v>0</v>
      </c>
      <c r="J18" s="8">
        <f>COUNTIF(H18:H18,"T")</f>
        <v>0</v>
      </c>
      <c r="K18" s="9" t="str">
        <f>IF(G18="","",IF(G18=100,IF(I18&gt;0,"Tidak Valid",IF((I18+J18)&gt;0,"Valid","Tidak Valid")),IF(I18=0,"Tidak Valid",IF((I18+J18)&gt;0,"Valid","Tidak Valid"))))</f>
        <v/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customHeight="1" ht="20">
      <c r="A19" s="7">
        <v>13</v>
      </c>
      <c r="B19" s="7" t="s">
        <v>63</v>
      </c>
      <c r="C19" s="7" t="s">
        <v>64</v>
      </c>
      <c r="D19" s="7">
        <v>1</v>
      </c>
      <c r="E19" s="7" t="s">
        <v>65</v>
      </c>
      <c r="F19" s="7" t="s">
        <v>66</v>
      </c>
      <c r="G19" s="11"/>
      <c r="H19" s="11"/>
      <c r="I19" s="8">
        <f>COUNTIF(H19:H19,"R")</f>
        <v>0</v>
      </c>
      <c r="J19" s="8">
        <f>COUNTIF(H19:H19,"T")</f>
        <v>0</v>
      </c>
      <c r="K19" s="9" t="str">
        <f>IF(G19="","",IF(G19=100,IF(I19&gt;0,"Tidak Valid",IF((I19+J19)&gt;0,"Valid","Tidak Valid")),IF(I19=0,"Tidak Valid",IF((I19+J19)&gt;0,"Valid","Tidak Valid"))))</f>
        <v/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customHeight="1" ht="20">
      <c r="A20" s="7">
        <v>14</v>
      </c>
      <c r="B20" s="7" t="s">
        <v>67</v>
      </c>
      <c r="C20" s="7" t="s">
        <v>68</v>
      </c>
      <c r="D20" s="7">
        <v>1</v>
      </c>
      <c r="E20" s="7" t="s">
        <v>69</v>
      </c>
      <c r="F20" s="7" t="s">
        <v>70</v>
      </c>
      <c r="G20" s="11"/>
      <c r="H20" s="11"/>
      <c r="I20" s="8">
        <f>COUNTIF(H20:H20,"R")</f>
        <v>0</v>
      </c>
      <c r="J20" s="8">
        <f>COUNTIF(H20:H20,"T")</f>
        <v>0</v>
      </c>
      <c r="K20" s="9" t="str">
        <f>IF(G20="","",IF(G20=100,IF(I20&gt;0,"Tidak Valid",IF((I20+J20)&gt;0,"Valid","Tidak Valid")),IF(I20=0,"Tidak Valid",IF((I20+J20)&gt;0,"Valid","Tidak Valid"))))</f>
        <v/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customHeight="1" ht="20">
      <c r="A21" s="7">
        <v>15</v>
      </c>
      <c r="B21" s="7" t="s">
        <v>71</v>
      </c>
      <c r="C21" s="7" t="s">
        <v>72</v>
      </c>
      <c r="D21" s="7">
        <v>1</v>
      </c>
      <c r="E21" s="7" t="s">
        <v>73</v>
      </c>
      <c r="F21" s="7" t="s">
        <v>74</v>
      </c>
      <c r="G21" s="11"/>
      <c r="H21" s="11"/>
      <c r="I21" s="8">
        <f>COUNTIF(H21:H21,"R")</f>
        <v>0</v>
      </c>
      <c r="J21" s="8">
        <f>COUNTIF(H21:H21,"T")</f>
        <v>0</v>
      </c>
      <c r="K21" s="9" t="str">
        <f>IF(G21="","",IF(G21=100,IF(I21&gt;0,"Tidak Valid",IF((I21+J21)&gt;0,"Valid","Tidak Valid")),IF(I21=0,"Tidak Valid",IF((I21+J21)&gt;0,"Valid","Tidak Valid"))))</f>
        <v/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customHeight="1" ht="20">
      <c r="A22" s="7">
        <v>16</v>
      </c>
      <c r="B22" s="7" t="s">
        <v>75</v>
      </c>
      <c r="C22" s="7" t="s">
        <v>76</v>
      </c>
      <c r="D22" s="7">
        <v>1</v>
      </c>
      <c r="E22" s="7" t="s">
        <v>77</v>
      </c>
      <c r="F22" s="7" t="s">
        <v>78</v>
      </c>
      <c r="G22" s="11"/>
      <c r="H22" s="11"/>
      <c r="I22" s="8">
        <f>COUNTIF(H22:H22,"R")</f>
        <v>0</v>
      </c>
      <c r="J22" s="8">
        <f>COUNTIF(H22:H22,"T")</f>
        <v>0</v>
      </c>
      <c r="K22" s="9" t="str">
        <f>IF(G22="","",IF(G22=100,IF(I22&gt;0,"Tidak Valid",IF((I22+J22)&gt;0,"Valid","Tidak Valid")),IF(I22=0,"Tidak Valid",IF((I22+J22)&gt;0,"Valid","Tidak Valid"))))</f>
        <v/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customHeight="1" ht="20">
      <c r="A23" s="7">
        <v>17</v>
      </c>
      <c r="B23" s="7" t="s">
        <v>79</v>
      </c>
      <c r="C23" s="7" t="s">
        <v>80</v>
      </c>
      <c r="D23" s="7">
        <v>1</v>
      </c>
      <c r="E23" s="7" t="s">
        <v>81</v>
      </c>
      <c r="F23" s="7" t="s">
        <v>82</v>
      </c>
      <c r="G23" s="11"/>
      <c r="H23" s="11"/>
      <c r="I23" s="8">
        <f>COUNTIF(H23:H23,"R")</f>
        <v>0</v>
      </c>
      <c r="J23" s="8">
        <f>COUNTIF(H23:H23,"T")</f>
        <v>0</v>
      </c>
      <c r="K23" s="9" t="str">
        <f>IF(G23="","",IF(G23=100,IF(I23&gt;0,"Tidak Valid",IF((I23+J23)&gt;0,"Valid","Tidak Valid")),IF(I23=0,"Tidak Valid",IF((I23+J23)&gt;0,"Valid","Tidak Valid"))))</f>
        <v/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customHeight="1" ht="20">
      <c r="A24" s="7">
        <v>18</v>
      </c>
      <c r="B24" s="7" t="s">
        <v>83</v>
      </c>
      <c r="C24" s="7" t="s">
        <v>84</v>
      </c>
      <c r="D24" s="7">
        <v>1</v>
      </c>
      <c r="E24" s="7" t="s">
        <v>85</v>
      </c>
      <c r="F24" s="7" t="s">
        <v>86</v>
      </c>
      <c r="G24" s="11"/>
      <c r="H24" s="11"/>
      <c r="I24" s="8">
        <f>COUNTIF(H24:H24,"R")</f>
        <v>0</v>
      </c>
      <c r="J24" s="8">
        <f>COUNTIF(H24:H24,"T")</f>
        <v>0</v>
      </c>
      <c r="K24" s="9" t="str">
        <f>IF(G24="","",IF(G24=100,IF(I24&gt;0,"Tidak Valid",IF((I24+J24)&gt;0,"Valid","Tidak Valid")),IF(I24=0,"Tidak Valid",IF((I24+J24)&gt;0,"Valid","Tidak Valid"))))</f>
        <v/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customHeight="1" ht="20">
      <c r="A25" s="7">
        <v>19</v>
      </c>
      <c r="B25" s="7" t="s">
        <v>87</v>
      </c>
      <c r="C25" s="7" t="s">
        <v>88</v>
      </c>
      <c r="D25" s="7">
        <v>1</v>
      </c>
      <c r="E25" s="7" t="s">
        <v>89</v>
      </c>
      <c r="F25" s="7" t="s">
        <v>90</v>
      </c>
      <c r="G25" s="11"/>
      <c r="H25" s="11"/>
      <c r="I25" s="8">
        <f>COUNTIF(H25:H25,"R")</f>
        <v>0</v>
      </c>
      <c r="J25" s="8">
        <f>COUNTIF(H25:H25,"T")</f>
        <v>0</v>
      </c>
      <c r="K25" s="9" t="str">
        <f>IF(G25="","",IF(G25=100,IF(I25&gt;0,"Tidak Valid",IF((I25+J25)&gt;0,"Valid","Tidak Valid")),IF(I25=0,"Tidak Valid",IF((I25+J25)&gt;0,"Valid","Tidak Valid"))))</f>
        <v/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customHeight="1" ht="20">
      <c r="A26" s="7">
        <v>20</v>
      </c>
      <c r="B26" s="7" t="s">
        <v>91</v>
      </c>
      <c r="C26" s="7" t="s">
        <v>92</v>
      </c>
      <c r="D26" s="7">
        <v>1</v>
      </c>
      <c r="E26" s="7" t="s">
        <v>93</v>
      </c>
      <c r="F26" s="7" t="s">
        <v>94</v>
      </c>
      <c r="G26" s="11"/>
      <c r="H26" s="11"/>
      <c r="I26" s="8">
        <f>COUNTIF(H26:H26,"R")</f>
        <v>0</v>
      </c>
      <c r="J26" s="8">
        <f>COUNTIF(H26:H26,"T")</f>
        <v>0</v>
      </c>
      <c r="K26" s="9" t="str">
        <f>IF(G26="","",IF(G26=100,IF(I26&gt;0,"Tidak Valid",IF((I26+J26)&gt;0,"Valid","Tidak Valid")),IF(I26=0,"Tidak Valid",IF((I26+J26)&gt;0,"Valid","Tidak Valid"))))</f>
        <v/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customHeight="1" ht="20">
      <c r="A27" s="7">
        <v>21</v>
      </c>
      <c r="B27" s="7" t="s">
        <v>95</v>
      </c>
      <c r="C27" s="7" t="s">
        <v>96</v>
      </c>
      <c r="D27" s="7">
        <v>1</v>
      </c>
      <c r="E27" s="7" t="s">
        <v>97</v>
      </c>
      <c r="F27" s="7" t="s">
        <v>98</v>
      </c>
      <c r="G27" s="11"/>
      <c r="H27" s="11"/>
      <c r="I27" s="8">
        <f>COUNTIF(H27:H27,"R")</f>
        <v>0</v>
      </c>
      <c r="J27" s="8">
        <f>COUNTIF(H27:H27,"T")</f>
        <v>0</v>
      </c>
      <c r="K27" s="9" t="str">
        <f>IF(G27="","",IF(G27=100,IF(I27&gt;0,"Tidak Valid",IF((I27+J27)&gt;0,"Valid","Tidak Valid")),IF(I27=0,"Tidak Valid",IF((I27+J27)&gt;0,"Valid","Tidak Valid"))))</f>
        <v/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customHeight="1" ht="20">
      <c r="A28" s="7">
        <v>22</v>
      </c>
      <c r="B28" s="7" t="s">
        <v>99</v>
      </c>
      <c r="C28" s="7" t="s">
        <v>100</v>
      </c>
      <c r="D28" s="7">
        <v>1</v>
      </c>
      <c r="E28" s="7" t="s">
        <v>101</v>
      </c>
      <c r="F28" s="7" t="s">
        <v>102</v>
      </c>
      <c r="G28" s="11"/>
      <c r="H28" s="11"/>
      <c r="I28" s="8">
        <f>COUNTIF(H28:H28,"R")</f>
        <v>0</v>
      </c>
      <c r="J28" s="8">
        <f>COUNTIF(H28:H28,"T")</f>
        <v>0</v>
      </c>
      <c r="K28" s="9" t="str">
        <f>IF(G28="","",IF(G28=100,IF(I28&gt;0,"Tidak Valid",IF((I28+J28)&gt;0,"Valid","Tidak Valid")),IF(I28=0,"Tidak Valid",IF((I28+J28)&gt;0,"Valid","Tidak Valid"))))</f>
        <v/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customHeight="1" ht="20">
      <c r="A29" s="7">
        <v>23</v>
      </c>
      <c r="B29" s="7" t="s">
        <v>103</v>
      </c>
      <c r="C29" s="7" t="s">
        <v>104</v>
      </c>
      <c r="D29" s="7">
        <v>1</v>
      </c>
      <c r="E29" s="7" t="s">
        <v>105</v>
      </c>
      <c r="F29" s="7" t="s">
        <v>106</v>
      </c>
      <c r="G29" s="11"/>
      <c r="H29" s="11"/>
      <c r="I29" s="8">
        <f>COUNTIF(H29:H29,"R")</f>
        <v>0</v>
      </c>
      <c r="J29" s="8">
        <f>COUNTIF(H29:H29,"T")</f>
        <v>0</v>
      </c>
      <c r="K29" s="9" t="str">
        <f>IF(G29="","",IF(G29=100,IF(I29&gt;0,"Tidak Valid",IF((I29+J29)&gt;0,"Valid","Tidak Valid")),IF(I29=0,"Tidak Valid",IF((I29+J29)&gt;0,"Valid","Tidak Valid"))))</f>
        <v/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customHeight="1" ht="20">
      <c r="A30" s="7">
        <v>24</v>
      </c>
      <c r="B30" s="7" t="s">
        <v>107</v>
      </c>
      <c r="C30" s="7" t="s">
        <v>108</v>
      </c>
      <c r="D30" s="7">
        <v>1</v>
      </c>
      <c r="E30" s="7" t="s">
        <v>109</v>
      </c>
      <c r="F30" s="7" t="s">
        <v>110</v>
      </c>
      <c r="G30" s="11"/>
      <c r="H30" s="11"/>
      <c r="I30" s="8">
        <f>COUNTIF(H30:H30,"R")</f>
        <v>0</v>
      </c>
      <c r="J30" s="8">
        <f>COUNTIF(H30:H30,"T")</f>
        <v>0</v>
      </c>
      <c r="K30" s="9" t="str">
        <f>IF(G30="","",IF(G30=100,IF(I30&gt;0,"Tidak Valid",IF((I30+J30)&gt;0,"Valid","Tidak Valid")),IF(I30=0,"Tidak Valid",IF((I30+J30)&gt;0,"Valid","Tidak Valid"))))</f>
        <v/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customHeight="1" ht="20">
      <c r="A31" s="7">
        <v>25</v>
      </c>
      <c r="B31" s="7" t="s">
        <v>111</v>
      </c>
      <c r="C31" s="7" t="s">
        <v>112</v>
      </c>
      <c r="D31" s="7">
        <v>1</v>
      </c>
      <c r="E31" s="7" t="s">
        <v>113</v>
      </c>
      <c r="F31" s="7" t="s">
        <v>114</v>
      </c>
      <c r="G31" s="11"/>
      <c r="H31" s="11"/>
      <c r="I31" s="8">
        <f>COUNTIF(H31:H31,"R")</f>
        <v>0</v>
      </c>
      <c r="J31" s="8">
        <f>COUNTIF(H31:H31,"T")</f>
        <v>0</v>
      </c>
      <c r="K31" s="9" t="str">
        <f>IF(G31="","",IF(G31=100,IF(I31&gt;0,"Tidak Valid",IF((I31+J31)&gt;0,"Valid","Tidak Valid")),IF(I31=0,"Tidak Valid",IF((I31+J31)&gt;0,"Valid","Tidak Valid"))))</f>
        <v/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customHeight="1" ht="20">
      <c r="A32" s="7">
        <v>26</v>
      </c>
      <c r="B32" s="7" t="s">
        <v>115</v>
      </c>
      <c r="C32" s="7" t="s">
        <v>116</v>
      </c>
      <c r="D32" s="7">
        <v>1</v>
      </c>
      <c r="E32" s="7" t="s">
        <v>117</v>
      </c>
      <c r="F32" s="7" t="s">
        <v>118</v>
      </c>
      <c r="G32" s="11"/>
      <c r="H32" s="11"/>
      <c r="I32" s="8">
        <f>COUNTIF(H32:H32,"R")</f>
        <v>0</v>
      </c>
      <c r="J32" s="8">
        <f>COUNTIF(H32:H32,"T")</f>
        <v>0</v>
      </c>
      <c r="K32" s="9" t="str">
        <f>IF(G32="","",IF(G32=100,IF(I32&gt;0,"Tidak Valid",IF((I32+J32)&gt;0,"Valid","Tidak Valid")),IF(I32=0,"Tidak Valid",IF((I32+J32)&gt;0,"Valid","Tidak Valid"))))</f>
        <v/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 customHeight="1" ht="20">
      <c r="A33" s="7">
        <v>27</v>
      </c>
      <c r="B33" s="7" t="s">
        <v>119</v>
      </c>
      <c r="C33" s="7" t="s">
        <v>120</v>
      </c>
      <c r="D33" s="7">
        <v>1</v>
      </c>
      <c r="E33" s="7" t="s">
        <v>121</v>
      </c>
      <c r="F33" s="7" t="s">
        <v>122</v>
      </c>
      <c r="G33" s="11"/>
      <c r="H33" s="11"/>
      <c r="I33" s="8">
        <f>COUNTIF(H33:H33,"R")</f>
        <v>0</v>
      </c>
      <c r="J33" s="8">
        <f>COUNTIF(H33:H33,"T")</f>
        <v>0</v>
      </c>
      <c r="K33" s="9" t="str">
        <f>IF(G33="","",IF(G33=100,IF(I33&gt;0,"Tidak Valid",IF((I33+J33)&gt;0,"Valid","Tidak Valid")),IF(I33=0,"Tidak Valid",IF((I33+J33)&gt;0,"Valid","Tidak Valid"))))</f>
        <v/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customHeight="1" ht="20">
      <c r="A34" s="7">
        <v>28</v>
      </c>
      <c r="B34" s="7" t="s">
        <v>123</v>
      </c>
      <c r="C34" s="7" t="s">
        <v>124</v>
      </c>
      <c r="D34" s="7">
        <v>1</v>
      </c>
      <c r="E34" s="7" t="s">
        <v>125</v>
      </c>
      <c r="F34" s="7" t="s">
        <v>126</v>
      </c>
      <c r="G34" s="11"/>
      <c r="H34" s="11"/>
      <c r="I34" s="8">
        <f>COUNTIF(H34:H34,"R")</f>
        <v>0</v>
      </c>
      <c r="J34" s="8">
        <f>COUNTIF(H34:H34,"T")</f>
        <v>0</v>
      </c>
      <c r="K34" s="9" t="str">
        <f>IF(G34="","",IF(G34=100,IF(I34&gt;0,"Tidak Valid",IF((I34+J34)&gt;0,"Valid","Tidak Valid")),IF(I34=0,"Tidak Valid",IF((I34+J34)&gt;0,"Valid","Tidak Valid"))))</f>
        <v/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customHeight="1" ht="20">
      <c r="A35" s="7">
        <v>29</v>
      </c>
      <c r="B35" s="7" t="s">
        <v>127</v>
      </c>
      <c r="C35" s="7" t="s">
        <v>128</v>
      </c>
      <c r="D35" s="7">
        <v>1</v>
      </c>
      <c r="E35" s="7" t="s">
        <v>129</v>
      </c>
      <c r="F35" s="7" t="s">
        <v>130</v>
      </c>
      <c r="G35" s="11"/>
      <c r="H35" s="11"/>
      <c r="I35" s="8">
        <f>COUNTIF(H35:H35,"R")</f>
        <v>0</v>
      </c>
      <c r="J35" s="8">
        <f>COUNTIF(H35:H35,"T")</f>
        <v>0</v>
      </c>
      <c r="K35" s="9" t="str">
        <f>IF(G35="","",IF(G35=100,IF(I35&gt;0,"Tidak Valid",IF((I35+J35)&gt;0,"Valid","Tidak Valid")),IF(I35=0,"Tidak Valid",IF((I35+J35)&gt;0,"Valid","Tidak Valid"))))</f>
        <v/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 customHeight="1" ht="20">
      <c r="A36" s="7">
        <v>30</v>
      </c>
      <c r="B36" s="7" t="s">
        <v>131</v>
      </c>
      <c r="C36" s="7" t="s">
        <v>132</v>
      </c>
      <c r="D36" s="7">
        <v>1</v>
      </c>
      <c r="E36" s="7" t="s">
        <v>133</v>
      </c>
      <c r="F36" s="7" t="s">
        <v>134</v>
      </c>
      <c r="G36" s="11"/>
      <c r="H36" s="11"/>
      <c r="I36" s="8">
        <f>COUNTIF(H36:H36,"R")</f>
        <v>0</v>
      </c>
      <c r="J36" s="8">
        <f>COUNTIF(H36:H36,"T")</f>
        <v>0</v>
      </c>
      <c r="K36" s="9" t="str">
        <f>IF(G36="","",IF(G36=100,IF(I36&gt;0,"Tidak Valid",IF((I36+J36)&gt;0,"Valid","Tidak Valid")),IF(I36=0,"Tidak Valid",IF((I36+J36)&gt;0,"Valid","Tidak Valid"))))</f>
        <v/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customHeight="1" ht="20">
      <c r="A37" s="7">
        <v>31</v>
      </c>
      <c r="B37" s="7" t="s">
        <v>135</v>
      </c>
      <c r="C37" s="7" t="s">
        <v>136</v>
      </c>
      <c r="D37" s="7">
        <v>1</v>
      </c>
      <c r="E37" s="7" t="s">
        <v>137</v>
      </c>
      <c r="F37" s="7" t="s">
        <v>138</v>
      </c>
      <c r="G37" s="11"/>
      <c r="H37" s="11"/>
      <c r="I37" s="8">
        <f>COUNTIF(H37:H37,"R")</f>
        <v>0</v>
      </c>
      <c r="J37" s="8">
        <f>COUNTIF(H37:H37,"T")</f>
        <v>0</v>
      </c>
      <c r="K37" s="9" t="str">
        <f>IF(G37="","",IF(G37=100,IF(I37&gt;0,"Tidak Valid",IF((I37+J37)&gt;0,"Valid","Tidak Valid")),IF(I37=0,"Tidak Valid",IF((I37+J37)&gt;0,"Valid","Tidak Valid"))))</f>
        <v/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customHeight="1" ht="20">
      <c r="A38" s="7">
        <v>32</v>
      </c>
      <c r="B38" s="7" t="s">
        <v>139</v>
      </c>
      <c r="C38" s="7" t="s">
        <v>140</v>
      </c>
      <c r="D38" s="7">
        <v>1</v>
      </c>
      <c r="E38" s="7" t="s">
        <v>141</v>
      </c>
      <c r="F38" s="7" t="s">
        <v>142</v>
      </c>
      <c r="G38" s="11"/>
      <c r="H38" s="11"/>
      <c r="I38" s="8">
        <f>COUNTIF(H38:H38,"R")</f>
        <v>0</v>
      </c>
      <c r="J38" s="8">
        <f>COUNTIF(H38:H38,"T")</f>
        <v>0</v>
      </c>
      <c r="K38" s="9" t="str">
        <f>IF(G38="","",IF(G38=100,IF(I38&gt;0,"Tidak Valid",IF((I38+J38)&gt;0,"Valid","Tidak Valid")),IF(I38=0,"Tidak Valid",IF((I38+J38)&gt;0,"Valid","Tidak Valid"))))</f>
        <v/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40" spans="1:52">
      <c r="A40" s="1" t="s">
        <v>143</v>
      </c>
    </row>
    <row r="41" spans="1:52">
      <c r="A41" t="s">
        <v>144</v>
      </c>
    </row>
    <row r="42" spans="1:52">
      <c r="A42" s="2" t="s">
        <v>145</v>
      </c>
    </row>
    <row r="43" spans="1:52">
      <c r="A43" t="s">
        <v>146</v>
      </c>
    </row>
    <row r="44" spans="1:52">
      <c r="A44" t="s">
        <v>147</v>
      </c>
    </row>
    <row r="45" spans="1:52">
      <c r="A45" t="s">
        <v>148</v>
      </c>
    </row>
    <row r="46" spans="1:52">
      <c r="A46" t="s">
        <v>149</v>
      </c>
    </row>
  </sheetData>
  <sheetProtection password="E249" sheet="1"/>
  <mergeCells>
    <mergeCell ref="A3:A6"/>
    <mergeCell ref="B3:B6"/>
    <mergeCell ref="C3:C6"/>
    <mergeCell ref="D3:D6"/>
    <mergeCell ref="E3:E6"/>
    <mergeCell ref="F3:F6"/>
    <mergeCell ref="G3:G6"/>
    <mergeCell ref="H3:H3"/>
    <mergeCell ref="I3:K3"/>
  </mergeCells>
  <dataValidations count="64"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7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8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8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9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9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0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0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1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1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2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2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3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3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4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4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5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5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6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6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7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7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8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8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19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19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0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0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1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1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2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2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3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3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4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4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5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5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6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6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7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7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8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8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29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29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0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0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1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1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2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2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3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3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4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4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5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5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6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6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7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7">
      <formula1>"T,R"</formula1>
    </dataValidation>
    <dataValidation type="whole" errorStyle="stop" operator="between" allowBlank="0" showDropDown="1" showInputMessage="1" showErrorMessage="1" errorTitle="Input Salah" error="Hanya boleh memasukkan angka antara 1 dan 100." promptTitle="Input Angka" prompt="Masukkan angka antara 1 dan 100." sqref="G38">
      <formula1>1</formula1>
      <formula2>100</formula2>
    </dataValidation>
    <dataValidation type="list" errorStyle="stop" operator="between" allowBlank="0" showDropDown="0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38">
      <formula1>"T,R"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2026-07-19T04:13:28+00:00</dcterms:created>
  <dcterms:modified xsi:type="dcterms:W3CDTF">2026-07-19T04:13:28+00:00</dcterms:modified>
  <dc:title>Untitled Spreadsheet</dc:title>
  <dc:description/>
  <dc:subject/>
  <cp:keywords/>
  <cp:category/>
</cp:coreProperties>
</file>